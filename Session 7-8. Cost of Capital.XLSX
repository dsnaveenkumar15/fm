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0. JGBS Current semester_Backup every week_1\1. BITS Courses\3. Financial Management ZG521 Sun 0820 AM\"/>
    </mc:Choice>
  </mc:AlternateContent>
  <xr:revisionPtr revIDLastSave="0" documentId="13_ncr:1_{8733430E-7149-4ECB-BFA0-23C9B4CFD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TM" sheetId="10" r:id="rId1"/>
    <sheet name="Exercise PPT" sheetId="1" r:id="rId2"/>
    <sheet name="PPT 17_WAC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9" l="1"/>
  <c r="B24" i="9"/>
  <c r="C24" i="9"/>
  <c r="F14" i="10"/>
  <c r="F15" i="10" s="1"/>
  <c r="F8" i="9"/>
  <c r="B4" i="10"/>
  <c r="E8" i="10" l="1"/>
  <c r="E11" i="10" s="1"/>
  <c r="B16" i="9"/>
  <c r="B25" i="9"/>
  <c r="B19" i="9"/>
  <c r="B15" i="9"/>
  <c r="B40" i="9"/>
  <c r="C34" i="9"/>
  <c r="B35" i="9" s="1"/>
  <c r="B36" i="9" s="1"/>
  <c r="B31" i="9"/>
  <c r="B8" i="9"/>
  <c r="C5" i="9" s="1"/>
  <c r="E5" i="9" s="1"/>
  <c r="C31" i="1"/>
  <c r="C32" i="1"/>
  <c r="C30" i="1"/>
  <c r="J19" i="1"/>
  <c r="B20" i="1"/>
  <c r="J9" i="1"/>
  <c r="J10" i="1" s="1"/>
  <c r="B9" i="1"/>
  <c r="B10" i="1" s="1"/>
  <c r="B42" i="1"/>
  <c r="B43" i="1" s="1"/>
  <c r="B44" i="1" s="1"/>
  <c r="C4" i="9" l="1"/>
  <c r="E4" i="9" s="1"/>
  <c r="C7" i="9"/>
  <c r="E7" i="9" s="1"/>
  <c r="C3" i="9"/>
  <c r="E3" i="9" s="1"/>
  <c r="C6" i="9"/>
  <c r="E6" i="9" s="1"/>
  <c r="E8" i="9" l="1"/>
</calcChain>
</file>

<file path=xl/sharedStrings.xml><?xml version="1.0" encoding="utf-8"?>
<sst xmlns="http://schemas.openxmlformats.org/spreadsheetml/2006/main" count="116" uniqueCount="81">
  <si>
    <t>Time</t>
  </si>
  <si>
    <t>15 years</t>
  </si>
  <si>
    <t>P0</t>
  </si>
  <si>
    <t>tax rate</t>
  </si>
  <si>
    <t>Kd</t>
  </si>
  <si>
    <t>Kp</t>
  </si>
  <si>
    <t>Ke</t>
  </si>
  <si>
    <t>D1</t>
  </si>
  <si>
    <t>g</t>
  </si>
  <si>
    <t>rf</t>
  </si>
  <si>
    <t>rm</t>
  </si>
  <si>
    <t>Stock</t>
  </si>
  <si>
    <t>Beta</t>
  </si>
  <si>
    <t>A</t>
  </si>
  <si>
    <t>B</t>
  </si>
  <si>
    <t>C</t>
  </si>
  <si>
    <t>F</t>
  </si>
  <si>
    <t>P0 (1-F)</t>
  </si>
  <si>
    <t>Source of Finance</t>
  </si>
  <si>
    <t>Amount in Millions</t>
  </si>
  <si>
    <t>Equity Capital (20 million shares, Rs.10/share)</t>
  </si>
  <si>
    <t>Preference Capital, 12 per cent (500,000 shares, Rs. 100/share)</t>
  </si>
  <si>
    <t>Retained earnings</t>
  </si>
  <si>
    <t>Debentures 14  per cent (1200000 debentures, Rs. 100 par)</t>
  </si>
  <si>
    <t>Term Loans, 13 per cent</t>
  </si>
  <si>
    <t>Total</t>
  </si>
  <si>
    <t>WACC</t>
  </si>
  <si>
    <t>D</t>
  </si>
  <si>
    <t>n</t>
  </si>
  <si>
    <t>I</t>
  </si>
  <si>
    <t>Debentures</t>
  </si>
  <si>
    <t>(14 + (100-90)/5)/ (0.6*90+0.4*100)</t>
  </si>
  <si>
    <t>Kd (1-T)</t>
  </si>
  <si>
    <t>t</t>
  </si>
  <si>
    <t>Term Loan</t>
  </si>
  <si>
    <t>Interest</t>
  </si>
  <si>
    <t>kd (1-t)</t>
  </si>
  <si>
    <t>(12 + (100-85)/10)/ (0.6*85+0.4*100)</t>
  </si>
  <si>
    <t>Kr</t>
  </si>
  <si>
    <t>Weightage</t>
  </si>
  <si>
    <t>W*K0</t>
  </si>
  <si>
    <t>10 years</t>
  </si>
  <si>
    <t>Interest rate (I)</t>
  </si>
  <si>
    <t>Time to maturity (n)</t>
  </si>
  <si>
    <t>FV= maturity value (F)</t>
  </si>
  <si>
    <t>Current price (P0)</t>
  </si>
  <si>
    <t>Cost of Debt before tax (Apply formula)</t>
  </si>
  <si>
    <t>Cost of Debt After tax</t>
  </si>
  <si>
    <t>7 years</t>
  </si>
  <si>
    <t xml:space="preserve">Face value </t>
  </si>
  <si>
    <t>Selling price (P0)</t>
  </si>
  <si>
    <t>Maturity value</t>
  </si>
  <si>
    <t>10-4</t>
  </si>
  <si>
    <t>Dividend(D)</t>
  </si>
  <si>
    <t>CAPM</t>
  </si>
  <si>
    <t>Ke (CAPM)</t>
  </si>
  <si>
    <t>Net price after floating cost</t>
  </si>
  <si>
    <t>Dividend yield</t>
  </si>
  <si>
    <t>Cost of Equity After tax (Apply formula)</t>
  </si>
  <si>
    <t>Current Market Price</t>
  </si>
  <si>
    <t>For 6% 5-year 1000 bond</t>
  </si>
  <si>
    <t>Year</t>
  </si>
  <si>
    <t>Cash flow</t>
  </si>
  <si>
    <t>Compute YTM or IRR</t>
  </si>
  <si>
    <t>1. Trial and Error method</t>
  </si>
  <si>
    <t>Coupon</t>
  </si>
  <si>
    <t>2. Lower and upper bound formula</t>
  </si>
  <si>
    <t>3. Excel IRR formula</t>
  </si>
  <si>
    <t>Coupon+Maturity Value</t>
  </si>
  <si>
    <t>Explain with price change in market</t>
  </si>
  <si>
    <t>YTM after tax</t>
  </si>
  <si>
    <t>YTM before tax using the formula</t>
  </si>
  <si>
    <t>YTM after tax using the formula</t>
  </si>
  <si>
    <t>Approximation</t>
  </si>
  <si>
    <t>Cost of Capital (K0)</t>
  </si>
  <si>
    <t>YTM/IRR</t>
  </si>
  <si>
    <t xml:space="preserve">Abacus Ltd. </t>
  </si>
  <si>
    <t xml:space="preserve">XYZ Ltd. </t>
  </si>
  <si>
    <t xml:space="preserve">Omega Enterprises </t>
  </si>
  <si>
    <t>Flotation costs</t>
  </si>
  <si>
    <t>PPT no.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</si>
</sst>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%"/>
    <numFmt numFmtId="166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9" fontId="0" fillId="0" borderId="0" xfId="0" applyNumberFormat="1"/>
    <xf numFmtId="10" fontId="0" fillId="0" borderId="0" xfId="0" applyNumberFormat="1"/>
    <xf numFmtId="0" fontId="2" fillId="0" borderId="0" xfId="0" applyFont="1"/>
    <xf numFmtId="10" fontId="0" fillId="0" borderId="0" xfId="1" applyNumberFormat="1" applyFont="1"/>
    <xf numFmtId="10" fontId="2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10" fontId="0" fillId="2" borderId="0" xfId="0" applyNumberFormat="1" applyFill="1"/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0" xfId="0" applyFont="1" applyFill="1"/>
    <xf numFmtId="10" fontId="2" fillId="2" borderId="0" xfId="0" applyNumberFormat="1" applyFont="1" applyFill="1"/>
    <xf numFmtId="10" fontId="2" fillId="2" borderId="0" xfId="1" applyNumberFormat="1" applyFont="1" applyFill="1"/>
    <xf numFmtId="164" fontId="0" fillId="2" borderId="0" xfId="1" applyNumberFormat="1" applyFont="1" applyFill="1"/>
    <xf numFmtId="165" fontId="2" fillId="2" borderId="0" xfId="1" applyNumberFormat="1" applyFont="1" applyFill="1"/>
    <xf numFmtId="10" fontId="0" fillId="2" borderId="1" xfId="1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0" fontId="0" fillId="3" borderId="0" xfId="0" applyNumberFormat="1" applyFill="1" applyAlignment="1">
      <alignment horizontal="center"/>
    </xf>
    <xf numFmtId="166" fontId="0" fillId="0" borderId="0" xfId="0" applyNumberFormat="1"/>
    <xf numFmtId="10" fontId="0" fillId="2" borderId="1" xfId="0" applyNumberFormat="1" applyFill="1" applyBorder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2" fillId="3" borderId="0" xfId="0" applyFont="1" applyFill="1"/>
    <xf numFmtId="10" fontId="0" fillId="0" borderId="0" xfId="1" applyNumberFormat="1" applyFont="1" applyFill="1"/>
    <xf numFmtId="0" fontId="2" fillId="0" borderId="1" xfId="0" applyFont="1" applyBorder="1"/>
    <xf numFmtId="10" fontId="2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7</xdr:row>
      <xdr:rowOff>171449</xdr:rowOff>
    </xdr:from>
    <xdr:to>
      <xdr:col>6</xdr:col>
      <xdr:colOff>0</xdr:colOff>
      <xdr:row>11</xdr:row>
      <xdr:rowOff>38100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17C409-9DCC-D9DE-4DB6-117ED2CA47EE}"/>
                </a:ext>
              </a:extLst>
            </xdr:cNvPr>
            <xdr:cNvSpPr txBox="1"/>
          </xdr:nvSpPr>
          <xdr:spPr>
            <a:xfrm>
              <a:off x="3676650" y="1504949"/>
              <a:ext cx="1771650" cy="6286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𝒌</m:t>
                      </m:r>
                    </m:e>
                    <m:sub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𝒅</m:t>
                      </m:r>
                    </m:sub>
                  </m:sSub>
                </m:oMath>
              </a14:m>
              <a:r>
                <a:rPr lang="en-IN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𝑰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+(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𝑴𝑽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sSub>
                        <m:sSubPr>
                          <m:ctrlP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𝑷</m:t>
                          </m:r>
                        </m:e>
                        <m:sub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𝟎</m:t>
                          </m:r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)/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𝒏</m:t>
                      </m:r>
                    </m:num>
                    <m:den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  <m:sSub>
                        <m:sSubPr>
                          <m:ctrlP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𝑷</m:t>
                          </m:r>
                        </m:e>
                        <m:sub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𝟎</m:t>
                          </m:r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𝟒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𝑴𝑽</m:t>
                      </m:r>
                    </m:den>
                  </m:f>
                </m:oMath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17C409-9DCC-D9DE-4DB6-117ED2CA47EE}"/>
                </a:ext>
              </a:extLst>
            </xdr:cNvPr>
            <xdr:cNvSpPr txBox="1"/>
          </xdr:nvSpPr>
          <xdr:spPr>
            <a:xfrm>
              <a:off x="3676650" y="1504949"/>
              <a:ext cx="1771650" cy="6286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4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𝒌_𝒅</a:t>
              </a:r>
              <a:r>
                <a:rPr lang="en-IN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:r>
                <a:rPr lang="en-IN" sz="14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(𝑰+(𝑴𝑽−𝑷_(𝟎 ))/𝒏)/(𝟎.𝟔𝑷_(𝟎 )+𝟎.𝟒𝑴𝑽)</a:t>
              </a:r>
              <a:endParaRPr lang="en-IN" sz="1100"/>
            </a:p>
          </xdr:txBody>
        </xdr:sp>
      </mc:Fallback>
    </mc:AlternateContent>
    <xdr:clientData/>
  </xdr:twoCellAnchor>
  <xdr:twoCellAnchor>
    <xdr:from>
      <xdr:col>3</xdr:col>
      <xdr:colOff>19050</xdr:colOff>
      <xdr:row>0</xdr:row>
      <xdr:rowOff>19050</xdr:rowOff>
    </xdr:from>
    <xdr:to>
      <xdr:col>7</xdr:col>
      <xdr:colOff>533400</xdr:colOff>
      <xdr:row>7</xdr:row>
      <xdr:rowOff>19049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AFD058-CD38-D390-C5D1-D18263E50E27}"/>
            </a:ext>
          </a:extLst>
        </xdr:cNvPr>
        <xdr:cNvSpPr txBox="1"/>
      </xdr:nvSpPr>
      <xdr:spPr>
        <a:xfrm>
          <a:off x="3638550" y="19050"/>
          <a:ext cx="2343150" cy="133349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 eaLnBrk="1" fontAlgn="auto" latinLnBrk="0" hangingPunct="1"/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1:</a:t>
          </a:r>
        </a:p>
        <a:p>
          <a:pPr rtl="0"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Abacus Ltd. Issued 15 years, 14 per cent bonds five years ago. The bond which has a face value of Rs. 100 is currently selling for Rs. 108.</a:t>
          </a:r>
          <a:endParaRPr lang="en-US">
            <a:effectLst/>
          </a:endParaRPr>
        </a:p>
        <a:p>
          <a:pPr rtl="0"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pre-tax cost of debt?</a:t>
          </a:r>
          <a:endParaRPr lang="en-US">
            <a:effectLst/>
          </a:endParaRPr>
        </a:p>
        <a:p>
          <a:pPr rtl="0"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after-tax cost of debt? (assume a 35 per cent tax rate)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11</xdr:col>
      <xdr:colOff>1</xdr:colOff>
      <xdr:row>0</xdr:row>
      <xdr:rowOff>85727</xdr:rowOff>
    </xdr:from>
    <xdr:to>
      <xdr:col>16</xdr:col>
      <xdr:colOff>66675</xdr:colOff>
      <xdr:row>8</xdr:row>
      <xdr:rowOff>76201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793459-7F4B-AF7D-BC5E-4DFA1C923CC2}"/>
            </a:ext>
          </a:extLst>
        </xdr:cNvPr>
        <xdr:cNvSpPr txBox="1"/>
      </xdr:nvSpPr>
      <xdr:spPr>
        <a:xfrm>
          <a:off x="10201276" y="85727"/>
          <a:ext cx="3114674" cy="15144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2:</a:t>
          </a:r>
          <a:endParaRPr lang="en-US">
            <a:effectLst/>
          </a:endParaRPr>
        </a:p>
        <a:p>
          <a:pPr rtl="0"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XYZ Ltd. Can sell 7 years, 15% $100 debenture at net price of $ 97.75. Such debentures will be redeemed at 5% premium on maturity. The corporate tax rate is 35%.</a:t>
          </a:r>
          <a:endParaRPr lang="en-US">
            <a:effectLst/>
          </a:endParaRPr>
        </a:p>
        <a:p>
          <a:pPr rtl="0"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pre-tax cost of debt?</a:t>
          </a:r>
          <a:endParaRPr lang="en-US">
            <a:effectLst/>
          </a:endParaRPr>
        </a:p>
        <a:p>
          <a:pPr rtl="0" eaLnBrk="1" fontAlgn="auto" latinLnBrk="0" hangingPunct="1"/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after-tax cost of debt? (assume a 35 per cent tax rate)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11</xdr:col>
      <xdr:colOff>9525</xdr:colOff>
      <xdr:row>8</xdr:row>
      <xdr:rowOff>123824</xdr:rowOff>
    </xdr:from>
    <xdr:to>
      <xdr:col>13</xdr:col>
      <xdr:colOff>447675</xdr:colOff>
      <xdr:row>11</xdr:row>
      <xdr:rowOff>180975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7230679-99EC-4C24-83AF-5DBB9F5FC0C8}"/>
                </a:ext>
              </a:extLst>
            </xdr:cNvPr>
            <xdr:cNvSpPr txBox="1"/>
          </xdr:nvSpPr>
          <xdr:spPr>
            <a:xfrm>
              <a:off x="9601200" y="1647824"/>
              <a:ext cx="1657350" cy="6286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14:m>
                <m:oMath xmlns:m="http://schemas.openxmlformats.org/officeDocument/2006/math">
                  <m:sSub>
                    <m:sSubPr>
                      <m:ctrlP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𝒌</m:t>
                      </m:r>
                    </m:e>
                    <m:sub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𝒅</m:t>
                      </m:r>
                    </m:sub>
                  </m:sSub>
                </m:oMath>
              </a14:m>
              <a:r>
                <a:rPr lang="en-IN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𝑰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+(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𝑴𝑽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sSub>
                        <m:sSubPr>
                          <m:ctrlP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𝑷</m:t>
                          </m:r>
                        </m:e>
                        <m:sub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𝟎</m:t>
                          </m:r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)/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𝒏</m:t>
                      </m:r>
                    </m:num>
                    <m:den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  <m:sSub>
                        <m:sSubPr>
                          <m:ctrlP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𝑷</m:t>
                          </m:r>
                        </m:e>
                        <m:sub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𝟎</m:t>
                          </m:r>
                          <m:r>
                            <a:rPr lang="en-IN" sz="1400" b="1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</m:sub>
                      </m:sSub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𝟒</m:t>
                      </m:r>
                      <m:r>
                        <a:rPr lang="en-IN" sz="1400" b="1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𝑴𝑽</m:t>
                      </m:r>
                    </m:den>
                  </m:f>
                </m:oMath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7230679-99EC-4C24-83AF-5DBB9F5FC0C8}"/>
                </a:ext>
              </a:extLst>
            </xdr:cNvPr>
            <xdr:cNvSpPr txBox="1"/>
          </xdr:nvSpPr>
          <xdr:spPr>
            <a:xfrm>
              <a:off x="9601200" y="1647824"/>
              <a:ext cx="1657350" cy="62865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4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𝒌_𝒅</a:t>
              </a:r>
              <a:r>
                <a:rPr lang="en-IN" sz="14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= </a:t>
              </a:r>
              <a:r>
                <a:rPr lang="en-IN" sz="1400" b="1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(𝑰+(𝑴𝑽−𝑷_(𝟎 ))/𝒏)/(𝟎.𝟔𝑷_(𝟎 )+𝟎.𝟒𝑴𝑽)</a:t>
              </a:r>
              <a:endParaRPr lang="en-IN" sz="1100"/>
            </a:p>
          </xdr:txBody>
        </xdr:sp>
      </mc:Fallback>
    </mc:AlternateContent>
    <xdr:clientData/>
  </xdr:twoCellAnchor>
  <xdr:twoCellAnchor>
    <xdr:from>
      <xdr:col>3</xdr:col>
      <xdr:colOff>9525</xdr:colOff>
      <xdr:row>11</xdr:row>
      <xdr:rowOff>123825</xdr:rowOff>
    </xdr:from>
    <xdr:to>
      <xdr:col>7</xdr:col>
      <xdr:colOff>142875</xdr:colOff>
      <xdr:row>20</xdr:row>
      <xdr:rowOff>28575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BA2A935-B3D8-488B-EEC0-B51273E4D056}"/>
            </a:ext>
          </a:extLst>
        </xdr:cNvPr>
        <xdr:cNvSpPr txBox="1"/>
      </xdr:nvSpPr>
      <xdr:spPr>
        <a:xfrm>
          <a:off x="3629025" y="2219325"/>
          <a:ext cx="1962150" cy="16192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3: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Omega Enterprises issued 10 year, 9 per cent preference shares four years ago. The preference share which has a face value of Rs.100 is currently selling for Rs. 92. what is the cost of preference shares?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10</xdr:col>
      <xdr:colOff>304800</xdr:colOff>
      <xdr:row>13</xdr:row>
      <xdr:rowOff>19050</xdr:rowOff>
    </xdr:from>
    <xdr:to>
      <xdr:col>14</xdr:col>
      <xdr:colOff>333375</xdr:colOff>
      <xdr:row>19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6B6542-65B3-04E3-AC8C-92793414AD9F}"/>
            </a:ext>
          </a:extLst>
        </xdr:cNvPr>
        <xdr:cNvSpPr txBox="1"/>
      </xdr:nvSpPr>
      <xdr:spPr>
        <a:xfrm>
          <a:off x="9896475" y="2495550"/>
          <a:ext cx="2466975" cy="1285875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4: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market price per share of a company is Rs.17.00. The dividend expected a year hence is Rs.1.00. The expected rate of dividend growth is 8 per cent. What is the cost of equity capital of the company?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5</xdr:col>
      <xdr:colOff>19050</xdr:colOff>
      <xdr:row>34</xdr:row>
      <xdr:rowOff>85725</xdr:rowOff>
    </xdr:from>
    <xdr:to>
      <xdr:col>8</xdr:col>
      <xdr:colOff>1552575</xdr:colOff>
      <xdr:row>41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704817D-3922-8910-7A62-A531FAD773D3}"/>
            </a:ext>
          </a:extLst>
        </xdr:cNvPr>
        <xdr:cNvSpPr txBox="1"/>
      </xdr:nvSpPr>
      <xdr:spPr>
        <a:xfrm>
          <a:off x="4857750" y="6562725"/>
          <a:ext cx="3362325" cy="13906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6: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current market price per share of Vishnu Ceramics is Rs.75. The dividend expected a year from now is Rs. 2.5 and it is expected to grow at a constant rate of 12 per cent. The floatation cost for the new issue will be 8 per cent. What is the cost of new equity?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</xdr:col>
      <xdr:colOff>180975</xdr:colOff>
      <xdr:row>23</xdr:row>
      <xdr:rowOff>76200</xdr:rowOff>
    </xdr:from>
    <xdr:to>
      <xdr:col>7</xdr:col>
      <xdr:colOff>276225</xdr:colOff>
      <xdr:row>29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5E54931-9E12-439E-B3F1-F6484AE45C5B}"/>
            </a:ext>
          </a:extLst>
        </xdr:cNvPr>
        <xdr:cNvSpPr txBox="1"/>
      </xdr:nvSpPr>
      <xdr:spPr>
        <a:xfrm>
          <a:off x="3800475" y="4457700"/>
          <a:ext cx="2533650" cy="12192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Exercise 5:</a:t>
          </a:r>
          <a:endParaRPr lang="en-US">
            <a:effectLst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risk-free rate is 8 per cent and the return on market portfolio is 12 per cent. Calculate the required rate of return on the three equity stocks with the beta values shown against them.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FD54-C345-4DEE-B7CA-96B165C3BD03}">
  <dimension ref="A1:F15"/>
  <sheetViews>
    <sheetView tabSelected="1" workbookViewId="0">
      <selection activeCell="C18" sqref="C18"/>
    </sheetView>
  </sheetViews>
  <sheetFormatPr defaultRowHeight="15" x14ac:dyDescent="0.25"/>
  <cols>
    <col min="1" max="1" width="19.5703125" bestFit="1" customWidth="1"/>
    <col min="2" max="2" width="9.5703125" bestFit="1" customWidth="1"/>
    <col min="3" max="3" width="22.7109375" bestFit="1" customWidth="1"/>
    <col min="4" max="4" width="33" bestFit="1" customWidth="1"/>
    <col min="5" max="5" width="12.28515625" customWidth="1"/>
  </cols>
  <sheetData>
    <row r="1" spans="1:6" x14ac:dyDescent="0.25">
      <c r="A1" t="s">
        <v>59</v>
      </c>
      <c r="B1" s="23">
        <v>600</v>
      </c>
      <c r="C1" s="6" t="s">
        <v>60</v>
      </c>
    </row>
    <row r="3" spans="1:6" x14ac:dyDescent="0.25">
      <c r="A3" s="10" t="s">
        <v>61</v>
      </c>
      <c r="B3" s="10" t="s">
        <v>62</v>
      </c>
      <c r="C3" s="10"/>
      <c r="D3" t="s">
        <v>63</v>
      </c>
    </row>
    <row r="4" spans="1:6" x14ac:dyDescent="0.25">
      <c r="A4" s="24">
        <v>0</v>
      </c>
      <c r="B4" s="24">
        <f>-B1</f>
        <v>-600</v>
      </c>
      <c r="C4" s="23" t="s">
        <v>59</v>
      </c>
      <c r="D4" t="s">
        <v>64</v>
      </c>
    </row>
    <row r="5" spans="1:6" x14ac:dyDescent="0.25">
      <c r="A5" s="10">
        <v>1</v>
      </c>
      <c r="B5" s="11">
        <v>60</v>
      </c>
      <c r="C5" s="10" t="s">
        <v>65</v>
      </c>
      <c r="D5" t="s">
        <v>66</v>
      </c>
    </row>
    <row r="6" spans="1:6" x14ac:dyDescent="0.25">
      <c r="A6" s="10">
        <v>2</v>
      </c>
      <c r="B6" s="11">
        <v>60</v>
      </c>
      <c r="C6" s="10" t="s">
        <v>65</v>
      </c>
      <c r="D6" s="6" t="s">
        <v>67</v>
      </c>
    </row>
    <row r="7" spans="1:6" x14ac:dyDescent="0.25">
      <c r="A7" s="10">
        <v>3</v>
      </c>
      <c r="B7" s="11">
        <v>60</v>
      </c>
      <c r="C7" s="10" t="s">
        <v>65</v>
      </c>
    </row>
    <row r="8" spans="1:6" x14ac:dyDescent="0.25">
      <c r="A8" s="10">
        <v>4</v>
      </c>
      <c r="B8" s="11">
        <v>60</v>
      </c>
      <c r="C8" s="10" t="s">
        <v>65</v>
      </c>
      <c r="D8" s="25" t="s">
        <v>75</v>
      </c>
      <c r="E8" s="26">
        <f>IRR(B4:B9)</f>
        <v>0.19115857619392873</v>
      </c>
      <c r="F8" s="27"/>
    </row>
    <row r="9" spans="1:6" x14ac:dyDescent="0.25">
      <c r="A9" s="10">
        <v>5</v>
      </c>
      <c r="B9" s="11">
        <v>1060</v>
      </c>
      <c r="C9" s="10" t="s">
        <v>68</v>
      </c>
      <c r="D9" s="6" t="s">
        <v>69</v>
      </c>
    </row>
    <row r="11" spans="1:6" x14ac:dyDescent="0.25">
      <c r="D11" s="23" t="s">
        <v>70</v>
      </c>
      <c r="E11" s="29">
        <f>E8*(1-0.3)</f>
        <v>0.13381100333575011</v>
      </c>
    </row>
    <row r="14" spans="1:6" x14ac:dyDescent="0.25">
      <c r="C14" s="30" t="s">
        <v>73</v>
      </c>
      <c r="D14" s="32" t="s">
        <v>71</v>
      </c>
      <c r="E14" s="32"/>
      <c r="F14" s="33">
        <f>(60+(1000-600)/5)/(0.6*600+0.4*1000)</f>
        <v>0.18421052631578946</v>
      </c>
    </row>
    <row r="15" spans="1:6" x14ac:dyDescent="0.25">
      <c r="D15" s="32" t="s">
        <v>72</v>
      </c>
      <c r="E15" s="32"/>
      <c r="F15" s="33">
        <f>F14*(1-0.3)</f>
        <v>0.12894736842105262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25" workbookViewId="0">
      <selection activeCell="I23" sqref="I23"/>
    </sheetView>
  </sheetViews>
  <sheetFormatPr defaultRowHeight="15" x14ac:dyDescent="0.25"/>
  <cols>
    <col min="1" max="1" width="36.7109375" bestFit="1" customWidth="1"/>
    <col min="2" max="2" width="8.140625" bestFit="1" customWidth="1"/>
    <col min="3" max="3" width="9.42578125" customWidth="1"/>
    <col min="9" max="9" width="36.7109375" bestFit="1" customWidth="1"/>
    <col min="10" max="10" width="7.140625" bestFit="1" customWidth="1"/>
  </cols>
  <sheetData>
    <row r="1" spans="1:11" x14ac:dyDescent="0.25">
      <c r="A1" s="23" t="s">
        <v>76</v>
      </c>
      <c r="I1" s="23" t="s">
        <v>77</v>
      </c>
    </row>
    <row r="2" spans="1:11" x14ac:dyDescent="0.25">
      <c r="A2" t="s">
        <v>42</v>
      </c>
      <c r="B2" s="1">
        <v>0.14000000000000001</v>
      </c>
      <c r="C2">
        <v>14</v>
      </c>
      <c r="I2" t="s">
        <v>42</v>
      </c>
      <c r="J2" s="1">
        <v>0.15</v>
      </c>
      <c r="K2">
        <v>15</v>
      </c>
    </row>
    <row r="3" spans="1:11" x14ac:dyDescent="0.25">
      <c r="A3" t="s">
        <v>0</v>
      </c>
      <c r="B3" t="s">
        <v>1</v>
      </c>
    </row>
    <row r="4" spans="1:11" x14ac:dyDescent="0.25">
      <c r="A4" t="s">
        <v>43</v>
      </c>
      <c r="B4" t="s">
        <v>41</v>
      </c>
      <c r="I4" t="s">
        <v>43</v>
      </c>
      <c r="J4" t="s">
        <v>48</v>
      </c>
    </row>
    <row r="5" spans="1:11" x14ac:dyDescent="0.25">
      <c r="A5" t="s">
        <v>44</v>
      </c>
      <c r="B5">
        <v>100</v>
      </c>
      <c r="I5" t="s">
        <v>49</v>
      </c>
      <c r="J5">
        <v>100</v>
      </c>
    </row>
    <row r="6" spans="1:11" x14ac:dyDescent="0.25">
      <c r="A6" t="s">
        <v>45</v>
      </c>
      <c r="B6">
        <v>108</v>
      </c>
      <c r="I6" t="s">
        <v>50</v>
      </c>
      <c r="J6">
        <v>97.75</v>
      </c>
    </row>
    <row r="7" spans="1:11" x14ac:dyDescent="0.25">
      <c r="A7" t="s">
        <v>3</v>
      </c>
      <c r="B7" s="1">
        <v>0.35</v>
      </c>
      <c r="I7" t="s">
        <v>3</v>
      </c>
      <c r="J7" s="1">
        <v>0.35</v>
      </c>
    </row>
    <row r="8" spans="1:11" x14ac:dyDescent="0.25">
      <c r="B8" s="1"/>
      <c r="I8" t="s">
        <v>51</v>
      </c>
      <c r="J8">
        <v>105</v>
      </c>
    </row>
    <row r="9" spans="1:11" x14ac:dyDescent="0.25">
      <c r="A9" s="6" t="s">
        <v>46</v>
      </c>
      <c r="B9" s="7">
        <f>(C2+(B5-B6)/10)/(0.6*B6+0.4*B5)</f>
        <v>0.12595419847328243</v>
      </c>
      <c r="I9" s="6" t="s">
        <v>46</v>
      </c>
      <c r="J9" s="7">
        <f>(K2+(J8-J6)/7)/(0.6*J6+0.4*J8)</f>
        <v>0.1593215527641757</v>
      </c>
    </row>
    <row r="10" spans="1:11" x14ac:dyDescent="0.25">
      <c r="A10" s="6" t="s">
        <v>47</v>
      </c>
      <c r="B10" s="8">
        <f>B9*(1-B7)</f>
        <v>8.1870229007633577E-2</v>
      </c>
      <c r="I10" s="6" t="s">
        <v>47</v>
      </c>
      <c r="J10" s="8">
        <f>J9*(1-J7)</f>
        <v>0.1035590092967142</v>
      </c>
    </row>
    <row r="14" spans="1:11" x14ac:dyDescent="0.25">
      <c r="A14" s="23" t="s">
        <v>78</v>
      </c>
      <c r="I14" s="6" t="s">
        <v>6</v>
      </c>
    </row>
    <row r="15" spans="1:11" x14ac:dyDescent="0.25">
      <c r="A15" t="s">
        <v>53</v>
      </c>
      <c r="B15" s="1">
        <v>0.09</v>
      </c>
      <c r="C15">
        <v>9</v>
      </c>
      <c r="I15" t="s">
        <v>6</v>
      </c>
    </row>
    <row r="16" spans="1:11" x14ac:dyDescent="0.25">
      <c r="I16" t="s">
        <v>7</v>
      </c>
      <c r="J16">
        <v>1</v>
      </c>
    </row>
    <row r="17" spans="1:10" x14ac:dyDescent="0.25">
      <c r="A17" t="s">
        <v>43</v>
      </c>
      <c r="B17">
        <v>6</v>
      </c>
      <c r="C17" s="9" t="s">
        <v>52</v>
      </c>
      <c r="I17" t="s">
        <v>2</v>
      </c>
      <c r="J17">
        <v>17</v>
      </c>
    </row>
    <row r="18" spans="1:10" x14ac:dyDescent="0.25">
      <c r="A18" t="s">
        <v>44</v>
      </c>
      <c r="B18">
        <v>100</v>
      </c>
      <c r="I18" t="s">
        <v>8</v>
      </c>
      <c r="J18" s="1">
        <v>0.08</v>
      </c>
    </row>
    <row r="19" spans="1:10" x14ac:dyDescent="0.25">
      <c r="A19" t="s">
        <v>50</v>
      </c>
      <c r="B19">
        <v>92</v>
      </c>
      <c r="I19" s="6" t="s">
        <v>58</v>
      </c>
      <c r="J19" s="8">
        <f>(J16/J17)+J18</f>
        <v>0.13882352941176471</v>
      </c>
    </row>
    <row r="20" spans="1:10" x14ac:dyDescent="0.25">
      <c r="A20" s="6" t="s">
        <v>58</v>
      </c>
      <c r="B20" s="7">
        <f>(C15+(B18-B19)/6)/(0.6*B19+0.4*B18)</f>
        <v>0.1085434173669468</v>
      </c>
    </row>
    <row r="21" spans="1:10" x14ac:dyDescent="0.25">
      <c r="B21" s="31"/>
    </row>
    <row r="22" spans="1:10" x14ac:dyDescent="0.25">
      <c r="B22" s="31"/>
    </row>
    <row r="24" spans="1:10" x14ac:dyDescent="0.25">
      <c r="A24" s="6" t="s">
        <v>80</v>
      </c>
      <c r="B24" t="s">
        <v>54</v>
      </c>
    </row>
    <row r="25" spans="1:10" x14ac:dyDescent="0.25">
      <c r="A25" t="s">
        <v>6</v>
      </c>
    </row>
    <row r="26" spans="1:10" x14ac:dyDescent="0.25">
      <c r="A26" t="s">
        <v>9</v>
      </c>
      <c r="B26" s="1">
        <v>0.08</v>
      </c>
    </row>
    <row r="27" spans="1:10" x14ac:dyDescent="0.25">
      <c r="A27" t="s">
        <v>10</v>
      </c>
      <c r="B27" s="1">
        <v>0.12</v>
      </c>
    </row>
    <row r="29" spans="1:10" x14ac:dyDescent="0.25">
      <c r="A29" s="10" t="s">
        <v>11</v>
      </c>
      <c r="B29" s="10" t="s">
        <v>12</v>
      </c>
      <c r="C29" s="11" t="s">
        <v>55</v>
      </c>
    </row>
    <row r="30" spans="1:10" x14ac:dyDescent="0.25">
      <c r="A30" s="10" t="s">
        <v>13</v>
      </c>
      <c r="B30" s="10">
        <v>0.8</v>
      </c>
      <c r="C30" s="28">
        <f>$B$26+B30*($B$27-$B$26)</f>
        <v>0.11199999999999999</v>
      </c>
    </row>
    <row r="31" spans="1:10" x14ac:dyDescent="0.25">
      <c r="A31" s="10" t="s">
        <v>14</v>
      </c>
      <c r="B31" s="10">
        <v>1.2</v>
      </c>
      <c r="C31" s="28">
        <f t="shared" ref="C31:C32" si="0">$B$26+B31*($B$27-$B$26)</f>
        <v>0.128</v>
      </c>
    </row>
    <row r="32" spans="1:10" x14ac:dyDescent="0.25">
      <c r="A32" s="10" t="s">
        <v>15</v>
      </c>
      <c r="B32" s="10">
        <v>1.7</v>
      </c>
      <c r="C32" s="28">
        <f t="shared" si="0"/>
        <v>0.14799999999999999</v>
      </c>
    </row>
    <row r="34" spans="1:3" x14ac:dyDescent="0.25">
      <c r="A34" s="6" t="s">
        <v>79</v>
      </c>
    </row>
    <row r="35" spans="1:3" x14ac:dyDescent="0.25">
      <c r="A35" t="s">
        <v>6</v>
      </c>
    </row>
    <row r="36" spans="1:3" x14ac:dyDescent="0.25">
      <c r="A36" t="s">
        <v>2</v>
      </c>
      <c r="B36">
        <v>75</v>
      </c>
    </row>
    <row r="37" spans="1:3" x14ac:dyDescent="0.25">
      <c r="A37" t="s">
        <v>7</v>
      </c>
      <c r="B37">
        <v>2.5</v>
      </c>
    </row>
    <row r="38" spans="1:3" x14ac:dyDescent="0.25">
      <c r="A38" t="s">
        <v>8</v>
      </c>
      <c r="B38" s="1">
        <v>0.12</v>
      </c>
    </row>
    <row r="39" spans="1:3" x14ac:dyDescent="0.25">
      <c r="A39" t="s">
        <v>16</v>
      </c>
      <c r="B39" s="1">
        <v>0.08</v>
      </c>
    </row>
    <row r="41" spans="1:3" x14ac:dyDescent="0.25">
      <c r="A41" t="s">
        <v>6</v>
      </c>
    </row>
    <row r="42" spans="1:3" x14ac:dyDescent="0.25">
      <c r="A42" t="s">
        <v>17</v>
      </c>
      <c r="B42">
        <f>B36*(1-0.08)</f>
        <v>69</v>
      </c>
      <c r="C42" t="s">
        <v>56</v>
      </c>
    </row>
    <row r="43" spans="1:3" x14ac:dyDescent="0.25">
      <c r="A43" t="s">
        <v>57</v>
      </c>
      <c r="B43" s="4">
        <f>B37/B42</f>
        <v>3.6231884057971016E-2</v>
      </c>
    </row>
    <row r="44" spans="1:3" x14ac:dyDescent="0.25">
      <c r="A44" s="6" t="s">
        <v>58</v>
      </c>
      <c r="B44" s="2">
        <f>B43+B38</f>
        <v>0.156231884057971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21AD-AD93-41D7-AA15-DBC607586E51}">
  <dimension ref="A1:I40"/>
  <sheetViews>
    <sheetView zoomScale="115" zoomScaleNormal="115" workbookViewId="0">
      <selection activeCell="E8" sqref="E8"/>
    </sheetView>
  </sheetViews>
  <sheetFormatPr defaultRowHeight="15" x14ac:dyDescent="0.25"/>
  <cols>
    <col min="1" max="1" width="62" bestFit="1" customWidth="1"/>
    <col min="2" max="2" width="34.42578125" bestFit="1" customWidth="1"/>
    <col min="3" max="3" width="10.7109375" bestFit="1" customWidth="1"/>
    <col min="4" max="4" width="18.140625" bestFit="1" customWidth="1"/>
    <col min="5" max="5" width="12.5703125" bestFit="1" customWidth="1"/>
  </cols>
  <sheetData>
    <row r="1" spans="1:6" x14ac:dyDescent="0.25">
      <c r="A1" s="16" t="s">
        <v>26</v>
      </c>
    </row>
    <row r="2" spans="1:6" x14ac:dyDescent="0.25">
      <c r="A2" s="14" t="s">
        <v>18</v>
      </c>
      <c r="B2" s="15" t="s">
        <v>19</v>
      </c>
      <c r="C2" s="15" t="s">
        <v>39</v>
      </c>
      <c r="D2" s="15" t="s">
        <v>74</v>
      </c>
      <c r="E2" s="15" t="s">
        <v>40</v>
      </c>
    </row>
    <row r="3" spans="1:6" x14ac:dyDescent="0.25">
      <c r="A3" s="13" t="s">
        <v>20</v>
      </c>
      <c r="B3" s="10">
        <v>200</v>
      </c>
      <c r="C3" s="12">
        <f>B3/$B$8</f>
        <v>0.25</v>
      </c>
      <c r="D3" s="21">
        <v>0.16</v>
      </c>
      <c r="E3" s="22">
        <f>C3*D3</f>
        <v>0.04</v>
      </c>
    </row>
    <row r="4" spans="1:6" x14ac:dyDescent="0.25">
      <c r="A4" s="13" t="s">
        <v>21</v>
      </c>
      <c r="B4" s="10">
        <v>50</v>
      </c>
      <c r="C4" s="12">
        <f t="shared" ref="C4:C7" si="0">B4/$B$8</f>
        <v>6.25E-2</v>
      </c>
      <c r="D4" s="22">
        <v>0.14835164835164835</v>
      </c>
      <c r="E4" s="22">
        <f t="shared" ref="E4:E7" si="1">C4*D4</f>
        <v>9.271978021978022E-3</v>
      </c>
    </row>
    <row r="5" spans="1:6" x14ac:dyDescent="0.25">
      <c r="A5" s="13" t="s">
        <v>22</v>
      </c>
      <c r="B5" s="10">
        <v>350</v>
      </c>
      <c r="C5" s="12">
        <f t="shared" si="0"/>
        <v>0.4375</v>
      </c>
      <c r="D5" s="21">
        <v>0.16</v>
      </c>
      <c r="E5" s="22">
        <f t="shared" si="1"/>
        <v>7.0000000000000007E-2</v>
      </c>
    </row>
    <row r="6" spans="1:6" x14ac:dyDescent="0.25">
      <c r="A6" s="13" t="s">
        <v>23</v>
      </c>
      <c r="B6" s="10">
        <v>120</v>
      </c>
      <c r="C6" s="12">
        <f t="shared" si="0"/>
        <v>0.15</v>
      </c>
      <c r="D6" s="22">
        <v>0.11914893617021276</v>
      </c>
      <c r="E6" s="22">
        <f t="shared" si="1"/>
        <v>1.7872340425531912E-2</v>
      </c>
    </row>
    <row r="7" spans="1:6" x14ac:dyDescent="0.25">
      <c r="A7" s="13" t="s">
        <v>24</v>
      </c>
      <c r="B7" s="10">
        <v>80</v>
      </c>
      <c r="C7" s="12">
        <f t="shared" si="0"/>
        <v>0.1</v>
      </c>
      <c r="D7" s="22">
        <v>9.0999999999999998E-2</v>
      </c>
      <c r="E7" s="22">
        <f t="shared" si="1"/>
        <v>9.1000000000000004E-3</v>
      </c>
    </row>
    <row r="8" spans="1:6" x14ac:dyDescent="0.25">
      <c r="A8" s="13" t="s">
        <v>25</v>
      </c>
      <c r="B8" s="10">
        <f>SUM(B3:B7)</f>
        <v>800</v>
      </c>
      <c r="C8" s="10">
        <v>1</v>
      </c>
      <c r="D8" s="10" t="s">
        <v>26</v>
      </c>
      <c r="E8" s="22">
        <f>SUM(E3:E7)</f>
        <v>0.14624431844750993</v>
      </c>
      <c r="F8" s="4">
        <f>SUMPRODUCT(C3:C7,D3:D7)</f>
        <v>0.14624431844750993</v>
      </c>
    </row>
    <row r="11" spans="1:6" x14ac:dyDescent="0.25">
      <c r="A11" s="16" t="s">
        <v>6</v>
      </c>
      <c r="B11" s="6"/>
    </row>
    <row r="12" spans="1:6" x14ac:dyDescent="0.25">
      <c r="A12" t="s">
        <v>7</v>
      </c>
      <c r="B12">
        <v>2</v>
      </c>
    </row>
    <row r="13" spans="1:6" x14ac:dyDescent="0.25">
      <c r="A13" t="s">
        <v>2</v>
      </c>
      <c r="B13">
        <v>50</v>
      </c>
    </row>
    <row r="14" spans="1:6" x14ac:dyDescent="0.25">
      <c r="A14" t="s">
        <v>8</v>
      </c>
      <c r="B14" s="1">
        <v>0.12</v>
      </c>
    </row>
    <row r="15" spans="1:6" x14ac:dyDescent="0.25">
      <c r="A15" s="16" t="s">
        <v>6</v>
      </c>
      <c r="B15" s="17">
        <f>(B12/B13)+B14</f>
        <v>0.16</v>
      </c>
    </row>
    <row r="16" spans="1:6" x14ac:dyDescent="0.25">
      <c r="A16" s="16" t="s">
        <v>38</v>
      </c>
      <c r="B16" s="17">
        <f>B15</f>
        <v>0.16</v>
      </c>
    </row>
    <row r="17" spans="1:9" x14ac:dyDescent="0.25">
      <c r="A17" s="3"/>
    </row>
    <row r="18" spans="1:9" x14ac:dyDescent="0.25">
      <c r="A18" s="16" t="s">
        <v>5</v>
      </c>
      <c r="B18" s="6"/>
      <c r="H18" s="3"/>
    </row>
    <row r="19" spans="1:9" x14ac:dyDescent="0.25">
      <c r="A19" t="s">
        <v>27</v>
      </c>
      <c r="B19">
        <f>12%*100</f>
        <v>12</v>
      </c>
    </row>
    <row r="20" spans="1:9" x14ac:dyDescent="0.25">
      <c r="A20" t="s">
        <v>16</v>
      </c>
      <c r="B20">
        <v>100</v>
      </c>
    </row>
    <row r="21" spans="1:9" x14ac:dyDescent="0.25">
      <c r="A21" t="s">
        <v>2</v>
      </c>
      <c r="B21">
        <v>85</v>
      </c>
    </row>
    <row r="22" spans="1:9" x14ac:dyDescent="0.25">
      <c r="A22" t="s">
        <v>28</v>
      </c>
      <c r="B22">
        <v>10</v>
      </c>
    </row>
    <row r="23" spans="1:9" x14ac:dyDescent="0.25">
      <c r="A23" t="s">
        <v>5</v>
      </c>
      <c r="B23" t="s">
        <v>37</v>
      </c>
    </row>
    <row r="24" spans="1:9" x14ac:dyDescent="0.25">
      <c r="B24">
        <f>(12 + (100-85)/10)</f>
        <v>13.5</v>
      </c>
      <c r="C24">
        <f>0.6*85+0.4*100</f>
        <v>91</v>
      </c>
    </row>
    <row r="25" spans="1:9" x14ac:dyDescent="0.25">
      <c r="A25" s="16" t="s">
        <v>5</v>
      </c>
      <c r="B25" s="18">
        <f>B24/C24</f>
        <v>0.14835164835164835</v>
      </c>
    </row>
    <row r="26" spans="1:9" x14ac:dyDescent="0.25">
      <c r="A26" s="3"/>
      <c r="B26" s="5"/>
    </row>
    <row r="27" spans="1:9" x14ac:dyDescent="0.25">
      <c r="A27" s="16" t="s">
        <v>30</v>
      </c>
      <c r="B27" s="6"/>
      <c r="H27" s="3"/>
      <c r="I27" s="5"/>
    </row>
    <row r="28" spans="1:9" x14ac:dyDescent="0.25">
      <c r="A28" t="s">
        <v>16</v>
      </c>
      <c r="B28">
        <v>100</v>
      </c>
    </row>
    <row r="29" spans="1:9" x14ac:dyDescent="0.25">
      <c r="A29" t="s">
        <v>2</v>
      </c>
      <c r="B29">
        <v>90</v>
      </c>
    </row>
    <row r="30" spans="1:9" x14ac:dyDescent="0.25">
      <c r="A30" t="s">
        <v>28</v>
      </c>
      <c r="B30">
        <v>5</v>
      </c>
    </row>
    <row r="31" spans="1:9" x14ac:dyDescent="0.25">
      <c r="A31" t="s">
        <v>29</v>
      </c>
      <c r="B31">
        <f>14%*B28</f>
        <v>14.000000000000002</v>
      </c>
    </row>
    <row r="32" spans="1:9" x14ac:dyDescent="0.25">
      <c r="A32" t="s">
        <v>33</v>
      </c>
      <c r="B32">
        <v>0.3</v>
      </c>
    </row>
    <row r="33" spans="1:3" x14ac:dyDescent="0.25">
      <c r="A33" t="s">
        <v>4</v>
      </c>
      <c r="B33" t="s">
        <v>31</v>
      </c>
    </row>
    <row r="34" spans="1:3" x14ac:dyDescent="0.25">
      <c r="B34">
        <f>(14 + (100-90)/5)</f>
        <v>16</v>
      </c>
      <c r="C34">
        <f>0.6*90+0.4*100</f>
        <v>94</v>
      </c>
    </row>
    <row r="35" spans="1:3" x14ac:dyDescent="0.25">
      <c r="A35" s="6" t="s">
        <v>4</v>
      </c>
      <c r="B35" s="19">
        <f>B34/C34</f>
        <v>0.1702127659574468</v>
      </c>
    </row>
    <row r="36" spans="1:3" x14ac:dyDescent="0.25">
      <c r="A36" s="16" t="s">
        <v>32</v>
      </c>
      <c r="B36" s="18">
        <f>B35*(1-0.3)</f>
        <v>0.11914893617021276</v>
      </c>
    </row>
    <row r="38" spans="1:3" x14ac:dyDescent="0.25">
      <c r="A38" s="3" t="s">
        <v>34</v>
      </c>
    </row>
    <row r="39" spans="1:3" x14ac:dyDescent="0.25">
      <c r="A39" t="s">
        <v>35</v>
      </c>
      <c r="B39" s="1">
        <v>0.13</v>
      </c>
    </row>
    <row r="40" spans="1:3" x14ac:dyDescent="0.25">
      <c r="A40" s="16" t="s">
        <v>36</v>
      </c>
      <c r="B40" s="20">
        <f>B39*(1-0.3)</f>
        <v>9.0999999999999998E-2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AB6E9E277804DABC86EB8C860FA82" ma:contentTypeVersion="29" ma:contentTypeDescription="Create a new document." ma:contentTypeScope="" ma:versionID="df7e74829e488977db0236f3346d3ecc">
  <xsd:schema xmlns:xsd="http://www.w3.org/2001/XMLSchema" xmlns:xs="http://www.w3.org/2001/XMLSchema" xmlns:p="http://schemas.microsoft.com/office/2006/metadata/properties" xmlns:ns2="358c27f4-605e-4a4d-a8b9-e26961c65206" targetNamespace="http://schemas.microsoft.com/office/2006/metadata/properties" ma:root="true" ma:fieldsID="c3ffef4f04f92b77f181381f7fb8710a" ns2:_="">
    <xsd:import namespace="358c27f4-605e-4a4d-a8b9-e26961c65206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c27f4-605e-4a4d-a8b9-e26961c65206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MS_Mappings xmlns="358c27f4-605e-4a4d-a8b9-e26961c65206" xsi:nil="true"/>
    <IsNotebookLocked xmlns="358c27f4-605e-4a4d-a8b9-e26961c65206" xsi:nil="true"/>
    <FolderType xmlns="358c27f4-605e-4a4d-a8b9-e26961c65206" xsi:nil="true"/>
    <Owner xmlns="358c27f4-605e-4a4d-a8b9-e26961c65206">
      <UserInfo>
        <DisplayName/>
        <AccountId xsi:nil="true"/>
        <AccountType/>
      </UserInfo>
    </Owner>
    <Teachers xmlns="358c27f4-605e-4a4d-a8b9-e26961c65206">
      <UserInfo>
        <DisplayName/>
        <AccountId xsi:nil="true"/>
        <AccountType/>
      </UserInfo>
    </Teachers>
    <Student_Groups xmlns="358c27f4-605e-4a4d-a8b9-e26961c65206">
      <UserInfo>
        <DisplayName/>
        <AccountId xsi:nil="true"/>
        <AccountType/>
      </UserInfo>
    </Student_Groups>
    <Invited_Teachers xmlns="358c27f4-605e-4a4d-a8b9-e26961c65206" xsi:nil="true"/>
    <DefaultSectionNames xmlns="358c27f4-605e-4a4d-a8b9-e26961c65206" xsi:nil="true"/>
    <Is_Collaboration_Space_Locked xmlns="358c27f4-605e-4a4d-a8b9-e26961c65206" xsi:nil="true"/>
    <NotebookType xmlns="358c27f4-605e-4a4d-a8b9-e26961c65206" xsi:nil="true"/>
    <CultureName xmlns="358c27f4-605e-4a4d-a8b9-e26961c65206" xsi:nil="true"/>
    <Distribution_Groups xmlns="358c27f4-605e-4a4d-a8b9-e26961c65206" xsi:nil="true"/>
    <AppVersion xmlns="358c27f4-605e-4a4d-a8b9-e26961c65206" xsi:nil="true"/>
    <TeamsChannelId xmlns="358c27f4-605e-4a4d-a8b9-e26961c65206" xsi:nil="true"/>
    <Teams_Channel_Section_Location xmlns="358c27f4-605e-4a4d-a8b9-e26961c65206" xsi:nil="true"/>
    <Templates xmlns="358c27f4-605e-4a4d-a8b9-e26961c65206" xsi:nil="true"/>
    <Self_Registration_Enabled xmlns="358c27f4-605e-4a4d-a8b9-e26961c65206" xsi:nil="true"/>
    <Has_Teacher_Only_SectionGroup xmlns="358c27f4-605e-4a4d-a8b9-e26961c65206" xsi:nil="true"/>
    <Invited_Students xmlns="358c27f4-605e-4a4d-a8b9-e26961c65206" xsi:nil="true"/>
    <Math_Settings xmlns="358c27f4-605e-4a4d-a8b9-e26961c65206" xsi:nil="true"/>
    <Students xmlns="358c27f4-605e-4a4d-a8b9-e26961c65206">
      <UserInfo>
        <DisplayName/>
        <AccountId xsi:nil="true"/>
        <AccountType/>
      </UserInfo>
    </Students>
  </documentManagement>
</p:properties>
</file>

<file path=customXml/itemProps1.xml><?xml version="1.0" encoding="utf-8"?>
<ds:datastoreItem xmlns:ds="http://schemas.openxmlformats.org/officeDocument/2006/customXml" ds:itemID="{76474E0D-C3F9-4004-8883-8176BBAF08A9}"/>
</file>

<file path=customXml/itemProps2.xml><?xml version="1.0" encoding="utf-8"?>
<ds:datastoreItem xmlns:ds="http://schemas.openxmlformats.org/officeDocument/2006/customXml" ds:itemID="{F062263A-DD2A-4893-AD55-141287A519B1}"/>
</file>

<file path=customXml/itemProps3.xml><?xml version="1.0" encoding="utf-8"?>
<ds:datastoreItem xmlns:ds="http://schemas.openxmlformats.org/officeDocument/2006/customXml" ds:itemID="{C322412C-9229-455C-AC37-68C194EF35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YTM</vt:lpstr>
      <vt:lpstr>Exercise PPT</vt:lpstr>
      <vt:lpstr>PPT 17_WACC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</dc:creator>
  <cp:lastModifiedBy>Sarveshwar Kumar Inani</cp:lastModifiedBy>
  <dcterms:created xsi:type="dcterms:W3CDTF">2015-06-05T18:17:20Z</dcterms:created>
  <dcterms:modified xsi:type="dcterms:W3CDTF">2024-09-14T13:54:49Z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0x010100B5AAB6E9E277804DABC86EB8C860FA82</vt:lpwstr>
  </property>
</Properties>
</file>